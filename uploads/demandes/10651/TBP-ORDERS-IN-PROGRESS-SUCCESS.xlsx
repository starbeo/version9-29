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249DBB0-8E60-414A-A081-660E4A58E3A2}" xr6:coauthVersionLast="45" xr6:coauthVersionMax="45" xr10:uidLastSave="{00000000-0000-0000-0000-000000000000}"/>
  <bookViews>
    <workbookView xWindow="-110" yWindow="-110" windowWidth="19420" windowHeight="10560" xr2:uid="{FDE9AB26-FCEE-43B5-9BD8-E23D3C9DCDA5}"/>
  </bookViews>
  <sheets>
    <sheet name="BAS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1" l="1"/>
  <c r="K8" i="1"/>
  <c r="K9" i="1"/>
  <c r="K10" i="1"/>
  <c r="K11" i="1"/>
  <c r="K12" i="1"/>
  <c r="K7" i="1"/>
</calcChain>
</file>

<file path=xl/sharedStrings.xml><?xml version="1.0" encoding="utf-8"?>
<sst xmlns="http://schemas.openxmlformats.org/spreadsheetml/2006/main" count="41" uniqueCount="35">
  <si>
    <t>Code d'envoi</t>
  </si>
  <si>
    <t>Numéro commande</t>
  </si>
  <si>
    <t>Type Livraison</t>
  </si>
  <si>
    <t>Nom complet</t>
  </si>
  <si>
    <t>Téléphone</t>
  </si>
  <si>
    <t>Prix</t>
  </si>
  <si>
    <t>Ville</t>
  </si>
  <si>
    <t>Date ramassage</t>
  </si>
  <si>
    <t>Date Livraison / Retour</t>
  </si>
  <si>
    <t>PWC1539MA93</t>
  </si>
  <si>
    <t>TBP790</t>
  </si>
  <si>
    <t>À domicile</t>
  </si>
  <si>
    <t>MARIA MESSAK</t>
  </si>
  <si>
    <t>KENITRA</t>
  </si>
  <si>
    <t>PWC1539MA91</t>
  </si>
  <si>
    <t>TBP78</t>
  </si>
  <si>
    <t>Rachim Wamanoufan</t>
  </si>
  <si>
    <t>FES</t>
  </si>
  <si>
    <t>PWC1539MA89</t>
  </si>
  <si>
    <t>TBP77</t>
  </si>
  <si>
    <t>Amira fatima</t>
  </si>
  <si>
    <t>TIFLET</t>
  </si>
  <si>
    <t>PWC1539MA88</t>
  </si>
  <si>
    <t>TBP7601</t>
  </si>
  <si>
    <t>FATIMA BADDI</t>
  </si>
  <si>
    <t>AIT MELLOUL</t>
  </si>
  <si>
    <t>PWC1539MA87</t>
  </si>
  <si>
    <t>JHD77</t>
  </si>
  <si>
    <t>MOHAMMED ETTAJ</t>
  </si>
  <si>
    <t>KHOURIBGUA</t>
  </si>
  <si>
    <t>PWC1539MA86</t>
  </si>
  <si>
    <t>TBP760</t>
  </si>
  <si>
    <t>Asmaa Mrabet</t>
  </si>
  <si>
    <t>FRAIS</t>
  </si>
  <si>
    <t xml:space="preserve">Montant final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</si>
</sst>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23A45"/>
      <name val="Calibri"/>
      <family val="2"/>
      <scheme val="minor"/>
    </font>
    <font>
      <b/>
      <sz val="11"/>
      <color rgb="FF0081BB"/>
      <name val="Calibri"/>
      <family val="2"/>
      <scheme val="minor"/>
    </font>
    <font>
      <b/>
      <sz val="11"/>
      <color rgb="FF323A4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DFD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4" fillId="3" borderId="1" xfId="0" applyFont="1" applyFill="1" applyBorder="1" applyAlignment="1">
      <alignment vertical="top"/>
    </xf>
    <xf numFmtId="49" fontId="4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14" fontId="4" fillId="3" borderId="1" xfId="0" applyNumberFormat="1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49" fontId="4" fillId="2" borderId="1" xfId="0" applyNumberFormat="1" applyFont="1" applyFill="1" applyBorder="1" applyAlignment="1">
      <alignment horizontal="right" vertical="center"/>
    </xf>
    <xf numFmtId="14" fontId="4" fillId="2" borderId="1" xfId="0" applyNumberFormat="1" applyFont="1" applyFill="1" applyBorder="1" applyAlignment="1">
      <alignment vertical="top"/>
    </xf>
    <xf numFmtId="14" fontId="4" fillId="3" borderId="4" xfId="0" applyNumberFormat="1" applyFont="1" applyFill="1" applyBorder="1" applyAlignment="1">
      <alignment vertical="top"/>
    </xf>
    <xf numFmtId="14" fontId="4" fillId="2" borderId="4" xfId="0" applyNumberFormat="1" applyFont="1" applyFill="1" applyBorder="1" applyAlignment="1">
      <alignment vertical="top"/>
    </xf>
    <xf numFmtId="0" fontId="4" fillId="2" borderId="6" xfId="0" applyFont="1" applyFill="1" applyBorder="1" applyAlignment="1">
      <alignment vertical="top"/>
    </xf>
    <xf numFmtId="49" fontId="4" fillId="2" borderId="6" xfId="0" applyNumberFormat="1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right" vertical="center"/>
    </xf>
    <xf numFmtId="14" fontId="4" fillId="2" borderId="6" xfId="0" applyNumberFormat="1" applyFont="1" applyFill="1" applyBorder="1" applyAlignment="1">
      <alignment vertical="top"/>
    </xf>
    <xf numFmtId="14" fontId="4" fillId="2" borderId="7" xfId="0" applyNumberFormat="1" applyFont="1" applyFill="1" applyBorder="1" applyAlignment="1">
      <alignment vertical="top"/>
    </xf>
    <xf numFmtId="49" fontId="6" fillId="3" borderId="1" xfId="0" applyNumberFormat="1" applyFont="1" applyFill="1" applyBorder="1" applyAlignment="1">
      <alignment horizontal="center" vertical="center"/>
    </xf>
    <xf numFmtId="49" fontId="6" fillId="3" borderId="6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/>
    </xf>
    <xf numFmtId="0" fontId="1" fillId="3" borderId="3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0" fontId="1" fillId="3" borderId="8" xfId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vertical="top"/>
    </xf>
    <xf numFmtId="49" fontId="4" fillId="3" borderId="9" xfId="0" applyNumberFormat="1" applyFont="1" applyFill="1" applyBorder="1" applyAlignment="1">
      <alignment horizontal="right" vertical="center"/>
    </xf>
    <xf numFmtId="0" fontId="4" fillId="3" borderId="9" xfId="0" applyFont="1" applyFill="1" applyBorder="1" applyAlignment="1">
      <alignment horizontal="right" vertical="center"/>
    </xf>
    <xf numFmtId="49" fontId="6" fillId="3" borderId="9" xfId="0" applyNumberFormat="1" applyFont="1" applyFill="1" applyBorder="1" applyAlignment="1">
      <alignment horizontal="center" vertical="center"/>
    </xf>
    <xf numFmtId="14" fontId="4" fillId="3" borderId="9" xfId="0" applyNumberFormat="1" applyFont="1" applyFill="1" applyBorder="1" applyAlignment="1">
      <alignment vertical="top"/>
    </xf>
    <xf numFmtId="14" fontId="4" fillId="3" borderId="10" xfId="0" applyNumberFormat="1" applyFont="1" applyFill="1" applyBorder="1" applyAlignment="1">
      <alignment vertical="top"/>
    </xf>
    <xf numFmtId="0" fontId="5" fillId="2" borderId="11" xfId="0" applyFont="1" applyFill="1" applyBorder="1" applyAlignment="1">
      <alignment horizontal="left"/>
    </xf>
    <xf numFmtId="0" fontId="5" fillId="2" borderId="12" xfId="0" applyFont="1" applyFill="1" applyBorder="1" applyAlignment="1">
      <alignment horizontal="left"/>
    </xf>
    <xf numFmtId="0" fontId="5" fillId="2" borderId="13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ycolis.net/client/colis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5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B427A-0652-454A-A8B3-81F1024F84E4}">
  <dimension ref="D5:N13"/>
  <sheetViews>
    <sheetView tabSelected="1" topLeftCell="C1" zoomScale="90" zoomScaleNormal="90" workbookViewId="0">
      <selection activeCell="H15" sqref="H15"/>
    </sheetView>
  </sheetViews>
  <sheetFormatPr defaultRowHeight="14.5" x14ac:dyDescent="0.35"/>
  <cols>
    <col min="4" max="4" width="13.7265625" bestFit="1" customWidth="1"/>
    <col min="5" max="5" width="17.6328125" bestFit="1" customWidth="1"/>
    <col min="6" max="6" width="13.08984375" bestFit="1" customWidth="1"/>
    <col min="7" max="7" width="19.08984375" bestFit="1" customWidth="1"/>
    <col min="8" max="8" width="10.54296875" bestFit="1" customWidth="1"/>
    <col min="9" max="9" width="7.08984375" bestFit="1" customWidth="1"/>
    <col min="10" max="10" width="7.08984375" customWidth="1"/>
    <col min="11" max="12" width="12.81640625" bestFit="1" customWidth="1"/>
    <col min="13" max="13" width="14.90625" bestFit="1" customWidth="1"/>
    <col min="14" max="14" width="20.453125" bestFit="1" customWidth="1"/>
  </cols>
  <sheetData>
    <row r="5" spans="4:14" ht="15" thickBot="1" x14ac:dyDescent="0.4"/>
    <row r="6" spans="4:14" ht="15" thickBot="1" x14ac:dyDescent="0.4">
      <c r="D6" s="28" t="s">
        <v>0</v>
      </c>
      <c r="E6" s="29" t="s">
        <v>1</v>
      </c>
      <c r="F6" s="29" t="s">
        <v>2</v>
      </c>
      <c r="G6" s="29" t="s">
        <v>3</v>
      </c>
      <c r="H6" s="29" t="s">
        <v>4</v>
      </c>
      <c r="I6" s="29" t="s">
        <v>5</v>
      </c>
      <c r="J6" s="29" t="s">
        <v>33</v>
      </c>
      <c r="K6" s="29" t="s">
        <v>34</v>
      </c>
      <c r="L6" s="29" t="s">
        <v>6</v>
      </c>
      <c r="M6" s="29" t="s">
        <v>7</v>
      </c>
      <c r="N6" s="30" t="s">
        <v>8</v>
      </c>
    </row>
    <row r="7" spans="4:14" x14ac:dyDescent="0.35">
      <c r="D7" s="21" t="s">
        <v>9</v>
      </c>
      <c r="E7" s="22" t="s">
        <v>10</v>
      </c>
      <c r="F7" s="22" t="s">
        <v>11</v>
      </c>
      <c r="G7" s="22" t="s">
        <v>12</v>
      </c>
      <c r="H7" s="22">
        <v>602281774</v>
      </c>
      <c r="I7" s="23">
        <v>219</v>
      </c>
      <c r="J7" s="24">
        <v>40</v>
      </c>
      <c r="K7" s="25">
        <f>+I7-J7</f>
        <v>179</v>
      </c>
      <c r="L7" s="22" t="s">
        <v>13</v>
      </c>
      <c r="M7" s="26">
        <v>44076</v>
      </c>
      <c r="N7" s="27">
        <v>44078</v>
      </c>
    </row>
    <row r="8" spans="4:14" x14ac:dyDescent="0.35">
      <c r="D8" s="19" t="s">
        <v>14</v>
      </c>
      <c r="E8" s="5" t="s">
        <v>15</v>
      </c>
      <c r="F8" s="5" t="s">
        <v>11</v>
      </c>
      <c r="G8" s="5" t="s">
        <v>16</v>
      </c>
      <c r="H8" s="5">
        <v>630328844</v>
      </c>
      <c r="I8" s="6">
        <v>170</v>
      </c>
      <c r="J8" s="3">
        <v>40</v>
      </c>
      <c r="K8" s="15">
        <f t="shared" ref="K8:K12" si="0">+I8-J8</f>
        <v>130</v>
      </c>
      <c r="L8" s="5" t="s">
        <v>17</v>
      </c>
      <c r="M8" s="7">
        <v>44076</v>
      </c>
      <c r="N8" s="9">
        <v>44077</v>
      </c>
    </row>
    <row r="9" spans="4:14" x14ac:dyDescent="0.35">
      <c r="D9" s="18" t="s">
        <v>18</v>
      </c>
      <c r="E9" s="1" t="s">
        <v>19</v>
      </c>
      <c r="F9" s="1" t="s">
        <v>11</v>
      </c>
      <c r="G9" s="1" t="s">
        <v>20</v>
      </c>
      <c r="H9" s="1">
        <v>654589616</v>
      </c>
      <c r="I9" s="2">
        <v>119</v>
      </c>
      <c r="J9" s="3">
        <v>40</v>
      </c>
      <c r="K9" s="15">
        <f t="shared" si="0"/>
        <v>79</v>
      </c>
      <c r="L9" s="1" t="s">
        <v>21</v>
      </c>
      <c r="M9" s="4">
        <v>44074</v>
      </c>
      <c r="N9" s="8">
        <v>44078</v>
      </c>
    </row>
    <row r="10" spans="4:14" x14ac:dyDescent="0.35">
      <c r="D10" s="19" t="s">
        <v>22</v>
      </c>
      <c r="E10" s="5" t="s">
        <v>23</v>
      </c>
      <c r="F10" s="5" t="s">
        <v>11</v>
      </c>
      <c r="G10" s="5" t="s">
        <v>24</v>
      </c>
      <c r="H10" s="5">
        <v>666388994</v>
      </c>
      <c r="I10" s="6">
        <v>119</v>
      </c>
      <c r="J10" s="3">
        <v>40</v>
      </c>
      <c r="K10" s="15">
        <f t="shared" si="0"/>
        <v>79</v>
      </c>
      <c r="L10" s="5" t="s">
        <v>25</v>
      </c>
      <c r="M10" s="7">
        <v>44074</v>
      </c>
      <c r="N10" s="9">
        <v>44076</v>
      </c>
    </row>
    <row r="11" spans="4:14" x14ac:dyDescent="0.35">
      <c r="D11" s="18" t="s">
        <v>26</v>
      </c>
      <c r="E11" s="1" t="s">
        <v>27</v>
      </c>
      <c r="F11" s="1" t="s">
        <v>11</v>
      </c>
      <c r="G11" s="1" t="s">
        <v>28</v>
      </c>
      <c r="H11" s="1">
        <v>666503849</v>
      </c>
      <c r="I11" s="2">
        <v>320</v>
      </c>
      <c r="J11" s="3">
        <v>40</v>
      </c>
      <c r="K11" s="15">
        <f t="shared" si="0"/>
        <v>280</v>
      </c>
      <c r="L11" s="1" t="s">
        <v>29</v>
      </c>
      <c r="M11" s="4">
        <v>44072</v>
      </c>
      <c r="N11" s="8">
        <v>44075</v>
      </c>
    </row>
    <row r="12" spans="4:14" ht="15" thickBot="1" x14ac:dyDescent="0.4">
      <c r="D12" s="20" t="s">
        <v>30</v>
      </c>
      <c r="E12" s="10" t="s">
        <v>31</v>
      </c>
      <c r="F12" s="10" t="s">
        <v>11</v>
      </c>
      <c r="G12" s="10" t="s">
        <v>32</v>
      </c>
      <c r="H12" s="10">
        <v>623660619</v>
      </c>
      <c r="I12" s="11">
        <v>219</v>
      </c>
      <c r="J12" s="12">
        <v>40</v>
      </c>
      <c r="K12" s="16">
        <f t="shared" si="0"/>
        <v>179</v>
      </c>
      <c r="L12" s="10" t="s">
        <v>13</v>
      </c>
      <c r="M12" s="13">
        <v>44072</v>
      </c>
      <c r="N12" s="14">
        <v>44077</v>
      </c>
    </row>
    <row r="13" spans="4:14" ht="15" thickBot="1" x14ac:dyDescent="0.4">
      <c r="K13" s="17">
        <f>SUM(K7:K12)</f>
        <v>926</v>
      </c>
    </row>
  </sheetData>
  <hyperlinks>
    <hyperlink ref="D7" r:id="rId1" display="https://mycolis.net/client/colis" xr:uid="{700908D2-139D-406C-B08A-7DE2EFAE55EB}"/>
    <hyperlink ref="D8" r:id="rId2" display="https://mycolis.net/client/colis" xr:uid="{1FFC440F-1CF4-4185-90B6-2204B5ED4B16}"/>
    <hyperlink ref="D9" r:id="rId3" display="https://mycolis.net/client/colis" xr:uid="{2AF52736-C370-4738-A98C-C537DE97D18E}"/>
    <hyperlink ref="D10" r:id="rId4" display="https://mycolis.net/client/colis" xr:uid="{98412E77-27D9-4559-A004-970174A41F4C}"/>
    <hyperlink ref="D11" r:id="rId5" display="https://mycolis.net/client/colis" xr:uid="{33E4BDA5-EC58-4E23-908C-2024A2582AAD}"/>
    <hyperlink ref="D12" r:id="rId6" display="https://mycolis.net/client/colis" xr:uid="{916C14A3-2020-4E31-ABD4-B08832EA225C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2020-09-22T23:14:43Z</dcterms:created>
  <dcterms:modified xsi:type="dcterms:W3CDTF">2020-09-22T23:23:48Z</dcterms:modified>
</cp:coreProperties>
</file>